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esg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<sst xmlns="http://schemas.openxmlformats.org/spreadsheetml/2006/main" count="47" uniqueCount="39">
  <si>
    <t xml:space="preserve">Leyenda: celdas en AZUL son editables (Probabilidad, Impacto, Mitigación, Responsable, Estado). Exposición y Nivel se calculan solos.</t>
  </si>
  <si>
    <t xml:space="preserve">ID</t>
  </si>
  <si>
    <t xml:space="preserve">Riesgo</t>
  </si>
  <si>
    <t xml:space="preserve">Categoría</t>
  </si>
  <si>
    <t xml:space="preserve">Probabilidad (1-3)</t>
  </si>
  <si>
    <t xml:space="preserve">Impacto (1-3)</t>
  </si>
  <si>
    <t xml:space="preserve">Exposición</t>
  </si>
  <si>
    <t xml:space="preserve">Nivel</t>
  </si>
  <si>
    <t xml:space="preserve">Mitigación</t>
  </si>
  <si>
    <t xml:space="preserve">Responsable</t>
  </si>
  <si>
    <t xml:space="preserve">Estado</t>
  </si>
  <si>
    <t xml:space="preserve">R01</t>
  </si>
  <si>
    <t xml:space="preserve">Retraso en la sincronización entre subequipos si el motor de cálculo no está estable para la semana 7</t>
  </si>
  <si>
    <t xml:space="preserve">Cronograma</t>
  </si>
  <si>
    <t xml:space="preserve">Reforzar revisión intermedia en semana 6; priorizar tests del motor antes que features nuevas</t>
  </si>
  <si>
    <t xml:space="preserve">Backend/Lógica</t>
  </si>
  <si>
    <t xml:space="preserve">Abierto</t>
  </si>
  <si>
    <t xml:space="preserve">R02</t>
  </si>
  <si>
    <t xml:space="preserve">Dependencia de disponibilidad de Streamlit Community Cloud para el deploy</t>
  </si>
  <si>
    <t xml:space="preserve">Técnico</t>
  </si>
  <si>
    <t xml:space="preserve">Tener documentado el runbook de rollback (DEPLOYMENT.md) y evaluar Render/Railway como alternativa</t>
  </si>
  <si>
    <t xml:space="preserve">Frontend/UX</t>
  </si>
  <si>
    <t xml:space="preserve">R03</t>
  </si>
  <si>
    <t xml:space="preserve">Alcance ambicioso frente al tiempo disponible: funcionalidad fuera de alcance reduce el margen de pulido final</t>
  </si>
  <si>
    <t xml:space="preserve">Alcance</t>
  </si>
  <si>
    <t xml:space="preserve">Revisar el SOW en cada sincronización de subequipos; cualquier ítem nuevo pasa primero por la sección de alcance opcional</t>
  </si>
  <si>
    <t xml:space="preserve">Todo el equipo</t>
  </si>
  <si>
    <t xml:space="preserve">R04</t>
  </si>
  <si>
    <t xml:space="preserve">El ítem opcional de análisis de datos (SOW 3.3) no llega a completarse</t>
  </si>
  <si>
    <t xml:space="preserve">Ya está definido como recortable sin impacto en entregables evaluados; no requiere mitigación adicional</t>
  </si>
  <si>
    <t xml:space="preserve">Datos/Exportación</t>
  </si>
  <si>
    <t xml:space="preserve">Aceptado</t>
  </si>
  <si>
    <t xml:space="preserve">R05</t>
  </si>
  <si>
    <t xml:space="preserve">Incompatibilidad técnica entre Streamlit y Netlify si se avanza prematuramente hacia la visión de producto final</t>
  </si>
  <si>
    <t xml:space="preserve">Mantener Streamlit Community Cloud para el alcance evaluado (ADR-005); Netlify queda reservado a un futuro cambio de frontend</t>
  </si>
  <si>
    <t xml:space="preserve">R06</t>
  </si>
  <si>
    <t xml:space="preserve">La tabla de multiplicadores requiere redeploy para actualizarse, limitando la autonomía del equipo comercial</t>
  </si>
  <si>
    <t xml:space="preserve">Producto</t>
  </si>
  <si>
    <t xml:space="preserve">Evaluar en v0.3.0/v0.4.0 migrar la carga de multiplicadores a un archivo subido desde la interfaz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</si>
</sst>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10" min="9" style="0" width="14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6.8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42" hidden="false" customHeight="true" outlineLevel="0" collapsed="false">
      <c r="A3" s="3" t="s">
        <v>11</v>
      </c>
      <c r="B3" s="3" t="s">
        <v>12</v>
      </c>
      <c r="C3" s="3" t="s">
        <v>13</v>
      </c>
      <c r="D3" s="4" t="n">
        <v>2</v>
      </c>
      <c r="E3" s="4" t="n">
        <v>3</v>
      </c>
      <c r="F3" s="3" t="n">
        <f aca="false">D3*E3</f>
        <v>6</v>
      </c>
      <c r="G3" s="3" t="str">
        <f aca="false">IF(F3&lt;=2,"Bajo",IF(F3&lt;=6,"Medio","Alto"))</f>
        <v>Medio</v>
      </c>
      <c r="H3" s="4" t="s">
        <v>14</v>
      </c>
      <c r="I3" s="4" t="s">
        <v>15</v>
      </c>
      <c r="J3" s="4" t="s">
        <v>16</v>
      </c>
    </row>
    <row r="4" customFormat="false" ht="42" hidden="false" customHeight="true" outlineLevel="0" collapsed="false">
      <c r="A4" s="3" t="s">
        <v>17</v>
      </c>
      <c r="B4" s="3" t="s">
        <v>18</v>
      </c>
      <c r="C4" s="3" t="s">
        <v>19</v>
      </c>
      <c r="D4" s="4" t="n">
        <v>1</v>
      </c>
      <c r="E4" s="4" t="n">
        <v>2</v>
      </c>
      <c r="F4" s="3" t="n">
        <f aca="false">D4*E4</f>
        <v>2</v>
      </c>
      <c r="G4" s="3" t="str">
        <f aca="false">IF(F4&lt;=2,"Bajo",IF(F4&lt;=6,"Medio","Alto"))</f>
        <v>Bajo</v>
      </c>
      <c r="H4" s="4" t="s">
        <v>20</v>
      </c>
      <c r="I4" s="4" t="s">
        <v>21</v>
      </c>
      <c r="J4" s="4" t="s">
        <v>16</v>
      </c>
    </row>
    <row r="5" customFormat="false" ht="42" hidden="false" customHeight="true" outlineLevel="0" collapsed="false">
      <c r="A5" s="3" t="s">
        <v>22</v>
      </c>
      <c r="B5" s="3" t="s">
        <v>23</v>
      </c>
      <c r="C5" s="3" t="s">
        <v>24</v>
      </c>
      <c r="D5" s="4" t="n">
        <v>2</v>
      </c>
      <c r="E5" s="4" t="n">
        <v>2</v>
      </c>
      <c r="F5" s="3" t="n">
        <f aca="false">D5*E5</f>
        <v>4</v>
      </c>
      <c r="G5" s="3" t="str">
        <f aca="false">IF(F5&lt;=2,"Bajo",IF(F5&lt;=6,"Medio","Alto"))</f>
        <v>Medio</v>
      </c>
      <c r="H5" s="4" t="s">
        <v>25</v>
      </c>
      <c r="I5" s="4" t="s">
        <v>26</v>
      </c>
      <c r="J5" s="4" t="s">
        <v>16</v>
      </c>
    </row>
    <row r="6" customFormat="false" ht="42" hidden="false" customHeight="true" outlineLevel="0" collapsed="false">
      <c r="A6" s="3" t="s">
        <v>27</v>
      </c>
      <c r="B6" s="3" t="s">
        <v>28</v>
      </c>
      <c r="C6" s="3" t="s">
        <v>24</v>
      </c>
      <c r="D6" s="4" t="n">
        <v>3</v>
      </c>
      <c r="E6" s="4" t="n">
        <v>1</v>
      </c>
      <c r="F6" s="3" t="n">
        <f aca="false">D6*E6</f>
        <v>3</v>
      </c>
      <c r="G6" s="3" t="str">
        <f aca="false">IF(F6&lt;=2,"Bajo",IF(F6&lt;=6,"Medio","Alto"))</f>
        <v>Medio</v>
      </c>
      <c r="H6" s="4" t="s">
        <v>29</v>
      </c>
      <c r="I6" s="4" t="s">
        <v>30</v>
      </c>
      <c r="J6" s="4" t="s">
        <v>31</v>
      </c>
    </row>
    <row r="7" customFormat="false" ht="42" hidden="false" customHeight="true" outlineLevel="0" collapsed="false">
      <c r="A7" s="3" t="s">
        <v>32</v>
      </c>
      <c r="B7" s="3" t="s">
        <v>33</v>
      </c>
      <c r="C7" s="3" t="s">
        <v>19</v>
      </c>
      <c r="D7" s="4" t="n">
        <v>2</v>
      </c>
      <c r="E7" s="4" t="n">
        <v>2</v>
      </c>
      <c r="F7" s="3" t="n">
        <f aca="false">D7*E7</f>
        <v>4</v>
      </c>
      <c r="G7" s="3" t="str">
        <f aca="false">IF(F7&lt;=2,"Bajo",IF(F7&lt;=6,"Medio","Alto"))</f>
        <v>Medio</v>
      </c>
      <c r="H7" s="4" t="s">
        <v>34</v>
      </c>
      <c r="I7" s="4" t="s">
        <v>21</v>
      </c>
      <c r="J7" s="4" t="s">
        <v>16</v>
      </c>
    </row>
    <row r="8" customFormat="false" ht="42" hidden="false" customHeight="true" outlineLevel="0" collapsed="false">
      <c r="A8" s="3" t="s">
        <v>35</v>
      </c>
      <c r="B8" s="3" t="s">
        <v>36</v>
      </c>
      <c r="C8" s="3" t="s">
        <v>37</v>
      </c>
      <c r="D8" s="4" t="n">
        <v>2</v>
      </c>
      <c r="E8" s="4" t="n">
        <v>1</v>
      </c>
      <c r="F8" s="3" t="n">
        <f aca="false">D8*E8</f>
        <v>2</v>
      </c>
      <c r="G8" s="3" t="str">
        <f aca="false">IF(F8&lt;=2,"Bajo",IF(F8&lt;=6,"Medio","Alto"))</f>
        <v>Bajo</v>
      </c>
      <c r="H8" s="4" t="s">
        <v>38</v>
      </c>
      <c r="I8" s="4" t="s">
        <v>30</v>
      </c>
      <c r="J8" s="4" t="s">
        <v>16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2026-09-09T21:21:26Z</dcterms:created>
  <dc:creator>openpyxl</dc:creator>
  <dc:description/>
  <dc:language>en-US</dc:language>
  <cp:lastModifiedBy/>
  <dcterms:modified xsi:type="dcterms:W3CDTF">2026-09-09T21:21:26Z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